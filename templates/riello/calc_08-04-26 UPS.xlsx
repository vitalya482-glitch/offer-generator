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CF1D632F-0B1E-45CB-AED6-18543869ED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DP Алматы_08-04-26(v1)" sheetId="16" r:id="rId1"/>
    <sheet name="conf" sheetId="17" r:id="rId2"/>
    <sheet name="DDP Алматы_05-12-24(v1)" sheetId="13" state="hidden" r:id="rId3"/>
    <sheet name="UPS configuration" sheetId="14" state="hidden" r:id="rId4"/>
  </sheets>
  <externalReferences>
    <externalReference r:id="rId5"/>
  </externalReferences>
  <definedNames>
    <definedName name="_10___HIMOD_A___it" localSheetId="2">#REF!</definedName>
    <definedName name="_10___HIMOD_A___it" localSheetId="0">#REF!</definedName>
    <definedName name="_10___HIMOD_A___it">#REF!</definedName>
    <definedName name="Micro_UPS" localSheetId="2">#REF!</definedName>
    <definedName name="Micro_UPS" localSheetId="0">#REF!</definedName>
    <definedName name="Micro_UPS">#REF!</definedName>
    <definedName name="PREZZICOD">'[1]Cond. ad aria Telecom'!$H$10,'[1]Cond. ad aria Telecom'!$F$7:$F$68</definedName>
    <definedName name="Weight_Powersure" localSheetId="2">#REF!</definedName>
    <definedName name="Weight_Powersure" localSheetId="0">#REF!</definedName>
    <definedName name="Weight_Powersure">#REF!</definedName>
  </definedNames>
  <calcPr calcId="181029"/>
</workbook>
</file>

<file path=xl/calcChain.xml><?xml version="1.0" encoding="utf-8"?>
<calcChain xmlns="http://schemas.openxmlformats.org/spreadsheetml/2006/main">
  <c r="C6" i="16" l="1"/>
  <c r="F5" i="17"/>
  <c r="F3" i="17"/>
  <c r="F4" i="17"/>
  <c r="A32" i="16"/>
  <c r="A22" i="16"/>
  <c r="D8" i="16"/>
  <c r="D23" i="16" s="1"/>
  <c r="D24" i="16" s="1"/>
  <c r="D25" i="16" s="1"/>
  <c r="H14" i="14"/>
  <c r="H13" i="14"/>
  <c r="H12" i="14"/>
  <c r="H8" i="14"/>
  <c r="C6" i="13" s="1"/>
  <c r="D8" i="13" s="1"/>
  <c r="D30" i="16" l="1"/>
  <c r="D26" i="16"/>
  <c r="D27" i="16" s="1"/>
  <c r="H15" i="14"/>
  <c r="A32" i="13"/>
  <c r="A22" i="13"/>
  <c r="D31" i="16" l="1"/>
  <c r="D32" i="16" s="1"/>
  <c r="D23" i="13"/>
  <c r="D24" i="13" s="1"/>
  <c r="D25" i="13" s="1"/>
  <c r="D26" i="13" s="1"/>
  <c r="D27" i="13" s="1"/>
  <c r="D34" i="16" l="1"/>
  <c r="D35" i="16" s="1"/>
  <c r="D36" i="16" s="1"/>
  <c r="D37" i="16" s="1"/>
  <c r="D30" i="13"/>
  <c r="D31" i="13" s="1"/>
  <c r="D32" i="13" s="1"/>
  <c r="D34" i="13" l="1"/>
  <c r="D35" i="13" s="1"/>
  <c r="D36" i="13" s="1"/>
  <c r="D37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7D7B5E64-0F03-429F-B895-2846F6DACED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1% если АКБ предназначен для РК, 5% если на экспорт.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6" authorId="0" shapeId="0" xr:uid="{5D8D786D-D5F2-4628-A07B-C718D711E966}">
      <text>
        <r>
          <rPr>
            <b/>
            <sz val="9"/>
            <color indexed="81"/>
            <rFont val="Tahoma"/>
            <family val="2"/>
            <charset val="204"/>
          </rPr>
          <t>Автор:
Стоимость паоло не дал, поэтому от балды</t>
        </r>
      </text>
    </comment>
    <comment ref="B16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1% если АКБ предназначен для РК, 5% если на экспорт. </t>
        </r>
      </text>
    </comment>
  </commentList>
</comments>
</file>

<file path=xl/sharedStrings.xml><?xml version="1.0" encoding="utf-8"?>
<sst xmlns="http://schemas.openxmlformats.org/spreadsheetml/2006/main" count="107" uniqueCount="53">
  <si>
    <t>Модель</t>
  </si>
  <si>
    <t>%</t>
  </si>
  <si>
    <t>кол-во</t>
  </si>
  <si>
    <t>Part Number</t>
  </si>
  <si>
    <t>Quantity</t>
  </si>
  <si>
    <t>Weight, kg</t>
  </si>
  <si>
    <t>Price per unit</t>
  </si>
  <si>
    <t>MF</t>
  </si>
  <si>
    <t>Total per quantity</t>
  </si>
  <si>
    <t>auto</t>
  </si>
  <si>
    <t>Customs clearance</t>
  </si>
  <si>
    <t>ускор</t>
  </si>
  <si>
    <t>Tax 5% for batt</t>
  </si>
  <si>
    <t>Certificate</t>
  </si>
  <si>
    <t>Storage</t>
  </si>
  <si>
    <t>Transport cost to the customer</t>
  </si>
  <si>
    <t>Installation &amp; Start-up&amp;trip</t>
  </si>
  <si>
    <t>Price without margin</t>
  </si>
  <si>
    <t>Margin, %</t>
  </si>
  <si>
    <t>Price + Margin</t>
  </si>
  <si>
    <t>VAT, %</t>
  </si>
  <si>
    <t>kzt</t>
  </si>
  <si>
    <t>Rate of currency</t>
  </si>
  <si>
    <t>Special term, %</t>
  </si>
  <si>
    <t>Total per unit</t>
  </si>
  <si>
    <t>TOTAL</t>
  </si>
  <si>
    <t>usd</t>
  </si>
  <si>
    <t>Утилизация 147тг за кг</t>
  </si>
  <si>
    <t>ШИТ предохранителей</t>
  </si>
  <si>
    <t>per unit</t>
  </si>
  <si>
    <t>Site inspection</t>
  </si>
  <si>
    <t>DDP Almaty gross price without VAT12%</t>
  </si>
  <si>
    <t>TOTAL, CHF</t>
  </si>
  <si>
    <t>Gross Total CHF</t>
  </si>
  <si>
    <t>Description</t>
  </si>
  <si>
    <t>Article</t>
  </si>
  <si>
    <t>DDP Yralsk</t>
  </si>
  <si>
    <t>Transport cost</t>
  </si>
  <si>
    <t>SRT 60 PWC</t>
  </si>
  <si>
    <t>GSRTK60UNB00RUA</t>
  </si>
  <si>
    <t>700 x 750 x 2060</t>
  </si>
  <si>
    <t>вес</t>
  </si>
  <si>
    <t>SRT 20 PM P</t>
  </si>
  <si>
    <t>DSRTK20ANBP0RUA</t>
  </si>
  <si>
    <t>V2</t>
  </si>
  <si>
    <t>V1</t>
  </si>
  <si>
    <t>DSRTK20ANBSPRUA</t>
  </si>
  <si>
    <t>SRT 20 PM SP</t>
  </si>
  <si>
    <t>445(19") x 664 x 397(9U)</t>
  </si>
  <si>
    <t>20 kVA-20 kW (Output 400 V 3-ph.)</t>
  </si>
  <si>
    <t>DDP Алматы</t>
  </si>
  <si>
    <t>SRT60PWC</t>
  </si>
  <si>
    <t xml:space="preserve">SRT 20 PM 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</si>
</sst>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[$€-2]\ * #,##0.00_-;\-[$€-2]\ * #,##0.00_-;_-[$€-2]\ * &quot;-&quot;??_-"/>
    <numFmt numFmtId="165" formatCode="_ * #,##0.00_ ;_ * \-#,##0.00_ ;_ * &quot;-&quot;??_ ;_ @_ "/>
    <numFmt numFmtId="166" formatCode="[$USD]\ #,##0.00"/>
  </numFmts>
  <fonts count="4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i/>
      <sz val="11"/>
      <color indexed="10"/>
      <name val="Calibri"/>
      <family val="2"/>
      <charset val="204"/>
    </font>
    <font>
      <sz val="8"/>
      <name val="Arial"/>
      <family val="2"/>
      <charset val="204"/>
    </font>
    <font>
      <sz val="8"/>
      <color indexed="8"/>
      <name val="Calibri"/>
      <family val="2"/>
      <charset val="204"/>
    </font>
    <font>
      <b/>
      <sz val="8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b/>
      <sz val="8"/>
      <color indexed="10"/>
      <name val="Arial"/>
      <family val="2"/>
      <charset val="204"/>
    </font>
    <font>
      <b/>
      <i/>
      <sz val="8"/>
      <name val="Arial"/>
      <family val="2"/>
      <charset val="204"/>
    </font>
    <font>
      <sz val="7"/>
      <color indexed="8"/>
      <name val="Calibri"/>
      <family val="2"/>
      <charset val="204"/>
    </font>
    <font>
      <sz val="8"/>
      <color indexed="10"/>
      <name val="Arial"/>
      <family val="2"/>
      <charset val="204"/>
    </font>
    <font>
      <b/>
      <u/>
      <sz val="8"/>
      <color indexed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Sabon"/>
    </font>
    <font>
      <b/>
      <sz val="11"/>
      <color indexed="63"/>
      <name val="Calibri"/>
      <family val="2"/>
    </font>
    <font>
      <sz val="9"/>
      <name val="Arial"/>
      <family val="2"/>
      <charset val="204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34"/>
      <scheme val="minor"/>
    </font>
    <font>
      <sz val="12"/>
      <name val="宋体"/>
      <family val="3"/>
      <charset val="134"/>
    </font>
    <font>
      <sz val="11"/>
      <color theme="1"/>
      <name val="Arial"/>
      <family val="2"/>
      <charset val="204"/>
    </font>
    <font>
      <sz val="12"/>
      <name val="Times New Roman"/>
      <family val="1"/>
    </font>
    <font>
      <b/>
      <i/>
      <sz val="11"/>
      <color rgb="FFFF0000"/>
      <name val="Calibri"/>
      <family val="2"/>
      <charset val="204"/>
    </font>
    <font>
      <i/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color theme="1"/>
      <name val="Arial"/>
      <family val="2"/>
      <charset val="204"/>
    </font>
    <font>
      <b/>
      <i/>
      <sz val="8"/>
      <color indexed="10"/>
      <name val="Arial"/>
      <family val="2"/>
      <charset val="204"/>
    </font>
    <font>
      <b/>
      <i/>
      <sz val="10"/>
      <color theme="1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20" borderId="0" applyNumberFormat="0" applyBorder="0" applyAlignment="0" applyProtection="0"/>
    <xf numFmtId="0" fontId="16" fillId="4" borderId="0" applyNumberFormat="0" applyBorder="0" applyAlignment="0" applyProtection="0"/>
    <xf numFmtId="0" fontId="17" fillId="21" borderId="2" applyNumberFormat="0" applyAlignment="0" applyProtection="0"/>
    <xf numFmtId="0" fontId="18" fillId="22" borderId="3" applyNumberFormat="0" applyAlignment="0" applyProtection="0"/>
    <xf numFmtId="164" fontId="1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3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4" fillId="8" borderId="2" applyNumberFormat="0" applyAlignment="0" applyProtection="0"/>
    <xf numFmtId="0" fontId="25" fillId="0" borderId="7" applyNumberFormat="0" applyFill="0" applyAlignment="0" applyProtection="0"/>
    <xf numFmtId="0" fontId="26" fillId="23" borderId="0" applyNumberFormat="0" applyBorder="0" applyAlignment="0" applyProtection="0"/>
    <xf numFmtId="0" fontId="13" fillId="0" borderId="0"/>
    <xf numFmtId="0" fontId="27" fillId="0" borderId="0"/>
    <xf numFmtId="0" fontId="13" fillId="24" borderId="8" applyNumberFormat="0" applyFont="0" applyAlignment="0" applyProtection="0"/>
    <xf numFmtId="0" fontId="28" fillId="21" borderId="9" applyNumberFormat="0" applyAlignment="0" applyProtection="0"/>
    <xf numFmtId="0" fontId="29" fillId="0" borderId="0"/>
    <xf numFmtId="0" fontId="30" fillId="0" borderId="0" applyNumberFormat="0" applyFill="0" applyBorder="0" applyAlignment="0" applyProtection="0"/>
    <xf numFmtId="0" fontId="31" fillId="0" borderId="10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0">
      <alignment vertical="center"/>
    </xf>
    <xf numFmtId="0" fontId="34" fillId="0" borderId="0">
      <alignment vertical="center"/>
    </xf>
    <xf numFmtId="165" fontId="34" fillId="0" borderId="0" applyFont="0" applyFill="0" applyBorder="0" applyAlignment="0" applyProtection="0">
      <alignment vertical="center"/>
    </xf>
    <xf numFmtId="0" fontId="34" fillId="0" borderId="0"/>
    <xf numFmtId="0" fontId="34" fillId="0" borderId="0"/>
    <xf numFmtId="165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4" fillId="0" borderId="0"/>
    <xf numFmtId="0" fontId="36" fillId="0" borderId="0"/>
    <xf numFmtId="0" fontId="13" fillId="0" borderId="0"/>
    <xf numFmtId="0" fontId="39" fillId="0" borderId="0"/>
  </cellStyleXfs>
  <cellXfs count="56">
    <xf numFmtId="0" fontId="0" fillId="0" borderId="0" xfId="0"/>
    <xf numFmtId="0" fontId="1" fillId="0" borderId="0" xfId="1"/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center" vertical="center"/>
    </xf>
    <xf numFmtId="0" fontId="3" fillId="0" borderId="0" xfId="1" applyFont="1"/>
    <xf numFmtId="0" fontId="1" fillId="0" borderId="0" xfId="1" applyAlignment="1">
      <alignment horizontal="center" vertical="center" wrapText="1"/>
    </xf>
    <xf numFmtId="0" fontId="5" fillId="0" borderId="0" xfId="1" applyFont="1"/>
    <xf numFmtId="0" fontId="7" fillId="0" borderId="0" xfId="1" applyFont="1"/>
    <xf numFmtId="0" fontId="8" fillId="0" borderId="0" xfId="1" applyFont="1" applyAlignment="1">
      <alignment horizontal="center"/>
    </xf>
    <xf numFmtId="0" fontId="4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/>
    </xf>
    <xf numFmtId="2" fontId="3" fillId="0" borderId="0" xfId="1" applyNumberFormat="1" applyFont="1" applyAlignment="1">
      <alignment horizontal="center" vertical="center"/>
    </xf>
    <xf numFmtId="0" fontId="10" fillId="0" borderId="0" xfId="1" applyFont="1"/>
    <xf numFmtId="0" fontId="11" fillId="0" borderId="0" xfId="1" applyFont="1"/>
    <xf numFmtId="0" fontId="6" fillId="0" borderId="0" xfId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4" fontId="3" fillId="0" borderId="0" xfId="1" applyNumberFormat="1" applyFont="1" applyAlignment="1">
      <alignment vertical="center"/>
    </xf>
    <xf numFmtId="4" fontId="3" fillId="0" borderId="0" xfId="1" applyNumberFormat="1" applyFont="1" applyAlignment="1">
      <alignment horizontal="center" vertical="center"/>
    </xf>
    <xf numFmtId="4" fontId="3" fillId="0" borderId="1" xfId="1" applyNumberFormat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4" fontId="5" fillId="0" borderId="0" xfId="1" applyNumberFormat="1" applyFont="1" applyAlignment="1">
      <alignment vertical="center"/>
    </xf>
    <xf numFmtId="4" fontId="10" fillId="0" borderId="0" xfId="1" applyNumberFormat="1" applyFont="1" applyAlignment="1">
      <alignment vertical="center"/>
    </xf>
    <xf numFmtId="4" fontId="7" fillId="0" borderId="0" xfId="1" applyNumberFormat="1" applyFont="1" applyAlignment="1">
      <alignment vertical="center"/>
    </xf>
    <xf numFmtId="0" fontId="1" fillId="0" borderId="0" xfId="1" applyAlignment="1">
      <alignment vertical="center"/>
    </xf>
    <xf numFmtId="0" fontId="2" fillId="0" borderId="11" xfId="1" applyFont="1" applyBorder="1" applyAlignment="1">
      <alignment horizontal="center" vertical="center" wrapText="1"/>
    </xf>
    <xf numFmtId="0" fontId="3" fillId="2" borderId="11" xfId="1" applyFont="1" applyFill="1" applyBorder="1" applyAlignment="1">
      <alignment vertical="center" wrapText="1"/>
    </xf>
    <xf numFmtId="0" fontId="3" fillId="2" borderId="11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 wrapText="1"/>
    </xf>
    <xf numFmtId="166" fontId="5" fillId="25" borderId="11" xfId="1" applyNumberFormat="1" applyFont="1" applyFill="1" applyBorder="1" applyAlignment="1">
      <alignment horizontal="center" vertical="top" wrapText="1"/>
    </xf>
    <xf numFmtId="0" fontId="37" fillId="0" borderId="11" xfId="1" applyFont="1" applyBorder="1" applyAlignment="1">
      <alignment vertical="center" wrapText="1"/>
    </xf>
    <xf numFmtId="0" fontId="3" fillId="25" borderId="0" xfId="1" applyFont="1" applyFill="1"/>
    <xf numFmtId="4" fontId="40" fillId="0" borderId="11" xfId="0" applyNumberFormat="1" applyFont="1" applyBorder="1" applyAlignment="1">
      <alignment horizontal="left"/>
    </xf>
    <xf numFmtId="4" fontId="40" fillId="0" borderId="11" xfId="0" applyNumberFormat="1" applyFont="1" applyBorder="1" applyAlignment="1">
      <alignment horizontal="center" vertical="center"/>
    </xf>
    <xf numFmtId="4" fontId="40" fillId="0" borderId="11" xfId="0" applyNumberFormat="1" applyFont="1" applyBorder="1"/>
    <xf numFmtId="4" fontId="40" fillId="0" borderId="0" xfId="0" applyNumberFormat="1" applyFont="1"/>
    <xf numFmtId="4" fontId="40" fillId="0" borderId="11" xfId="0" applyNumberFormat="1" applyFont="1" applyBorder="1" applyAlignment="1" applyProtection="1">
      <alignment horizontal="right"/>
      <protection locked="0"/>
    </xf>
    <xf numFmtId="4" fontId="41" fillId="0" borderId="11" xfId="0" applyNumberFormat="1" applyFont="1" applyBorder="1" applyAlignment="1" applyProtection="1">
      <alignment horizontal="right"/>
      <protection locked="0"/>
    </xf>
    <xf numFmtId="0" fontId="38" fillId="0" borderId="12" xfId="0" applyFont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 vertical="center" wrapText="1"/>
    </xf>
    <xf numFmtId="4" fontId="3" fillId="0" borderId="0" xfId="0" applyNumberFormat="1" applyFont="1"/>
    <xf numFmtId="4" fontId="40" fillId="0" borderId="13" xfId="0" applyNumberFormat="1" applyFont="1" applyBorder="1" applyAlignment="1">
      <alignment horizontal="left"/>
    </xf>
    <xf numFmtId="4" fontId="41" fillId="0" borderId="0" xfId="0" applyNumberFormat="1" applyFont="1" applyAlignment="1" applyProtection="1">
      <alignment horizontal="right"/>
      <protection locked="0"/>
    </xf>
    <xf numFmtId="0" fontId="42" fillId="0" borderId="11" xfId="0" applyFont="1" applyBorder="1" applyAlignment="1">
      <alignment horizontal="center" vertical="center"/>
    </xf>
    <xf numFmtId="0" fontId="45" fillId="0" borderId="0" xfId="0" applyFont="1"/>
    <xf numFmtId="0" fontId="46" fillId="0" borderId="11" xfId="1" applyFont="1" applyBorder="1" applyAlignment="1">
      <alignment vertical="center" wrapText="1"/>
    </xf>
    <xf numFmtId="0" fontId="45" fillId="0" borderId="0" xfId="1" applyFont="1"/>
    <xf numFmtId="0" fontId="47" fillId="0" borderId="11" xfId="0" applyFont="1" applyBorder="1" applyAlignment="1">
      <alignment horizontal="center" vertical="center"/>
    </xf>
    <xf numFmtId="0" fontId="47" fillId="0" borderId="11" xfId="0" applyFont="1" applyBorder="1"/>
    <xf numFmtId="0" fontId="47" fillId="0" borderId="11" xfId="0" applyFont="1" applyBorder="1" applyAlignment="1">
      <alignment horizontal="center"/>
    </xf>
    <xf numFmtId="0" fontId="0" fillId="0" borderId="11" xfId="0" applyBorder="1"/>
    <xf numFmtId="0" fontId="47" fillId="0" borderId="11" xfId="0" applyFont="1" applyBorder="1" applyAlignment="1">
      <alignment horizontal="center" vertical="center" wrapText="1"/>
    </xf>
    <xf numFmtId="4" fontId="3" fillId="0" borderId="0" xfId="1" applyNumberFormat="1" applyFont="1" applyAlignment="1">
      <alignment horizontal="center" vertical="center"/>
    </xf>
    <xf numFmtId="4" fontId="5" fillId="0" borderId="0" xfId="1" applyNumberFormat="1" applyFont="1" applyAlignment="1">
      <alignment horizontal="center" vertical="center"/>
    </xf>
    <xf numFmtId="4" fontId="40" fillId="0" borderId="11" xfId="0" applyNumberFormat="1" applyFont="1" applyBorder="1" applyAlignment="1">
      <alignment horizontal="center"/>
    </xf>
  </cellXfs>
  <cellStyles count="62">
    <cellStyle name="0,0_x000d__x000a_NA_x000d__x000a_ 2 2" xfId="58" xr:uid="{00000000-0005-0000-0000-000000000000}"/>
    <cellStyle name="0,0_x000d__x000a_NA_x000d__x000a_ 3" xfId="59" xr:uid="{00000000-0005-0000-0000-000001000000}"/>
    <cellStyle name="20% - Accent1" xfId="6" xr:uid="{00000000-0005-0000-0000-000002000000}"/>
    <cellStyle name="20% - Accent2" xfId="7" xr:uid="{00000000-0005-0000-0000-000003000000}"/>
    <cellStyle name="20% - Accent3" xfId="8" xr:uid="{00000000-0005-0000-0000-000004000000}"/>
    <cellStyle name="20% - Accent4" xfId="9" xr:uid="{00000000-0005-0000-0000-000005000000}"/>
    <cellStyle name="20% - Accent5" xfId="10" xr:uid="{00000000-0005-0000-0000-000006000000}"/>
    <cellStyle name="20% - Accent6" xfId="11" xr:uid="{00000000-0005-0000-0000-000007000000}"/>
    <cellStyle name="40% - Accent1" xfId="12" xr:uid="{00000000-0005-0000-0000-000008000000}"/>
    <cellStyle name="40% - Accent2" xfId="13" xr:uid="{00000000-0005-0000-0000-000009000000}"/>
    <cellStyle name="40% - Accent3" xfId="14" xr:uid="{00000000-0005-0000-0000-00000A000000}"/>
    <cellStyle name="40% - Accent4" xfId="15" xr:uid="{00000000-0005-0000-0000-00000B000000}"/>
    <cellStyle name="40% - Accent5" xfId="16" xr:uid="{00000000-0005-0000-0000-00000C000000}"/>
    <cellStyle name="40% - Accent6" xfId="17" xr:uid="{00000000-0005-0000-0000-00000D000000}"/>
    <cellStyle name="60% - Accent1" xfId="18" xr:uid="{00000000-0005-0000-0000-00000E000000}"/>
    <cellStyle name="60% - Accent2" xfId="19" xr:uid="{00000000-0005-0000-0000-00000F000000}"/>
    <cellStyle name="60% - Accent3" xfId="20" xr:uid="{00000000-0005-0000-0000-000010000000}"/>
    <cellStyle name="60% - Accent4" xfId="21" xr:uid="{00000000-0005-0000-0000-000011000000}"/>
    <cellStyle name="60% - Accent5" xfId="22" xr:uid="{00000000-0005-0000-0000-000012000000}"/>
    <cellStyle name="60% - Accent6" xfId="23" xr:uid="{00000000-0005-0000-0000-000013000000}"/>
    <cellStyle name="Accent1" xfId="24" xr:uid="{00000000-0005-0000-0000-000014000000}"/>
    <cellStyle name="Accent2" xfId="25" xr:uid="{00000000-0005-0000-0000-000015000000}"/>
    <cellStyle name="Accent3" xfId="26" xr:uid="{00000000-0005-0000-0000-000016000000}"/>
    <cellStyle name="Accent4" xfId="27" xr:uid="{00000000-0005-0000-0000-000017000000}"/>
    <cellStyle name="Accent5" xfId="28" xr:uid="{00000000-0005-0000-0000-000018000000}"/>
    <cellStyle name="Accent6" xfId="29" xr:uid="{00000000-0005-0000-0000-000019000000}"/>
    <cellStyle name="Bad" xfId="30" xr:uid="{00000000-0005-0000-0000-00001A000000}"/>
    <cellStyle name="Calculation" xfId="31" xr:uid="{00000000-0005-0000-0000-00001B000000}"/>
    <cellStyle name="Check Cell" xfId="32" xr:uid="{00000000-0005-0000-0000-00001C000000}"/>
    <cellStyle name="Euro" xfId="33" xr:uid="{00000000-0005-0000-0000-00001D000000}"/>
    <cellStyle name="Explanatory Text" xfId="34" xr:uid="{00000000-0005-0000-0000-00001E000000}"/>
    <cellStyle name="Good" xfId="35" xr:uid="{00000000-0005-0000-0000-00001F000000}"/>
    <cellStyle name="Heading 1" xfId="36" xr:uid="{00000000-0005-0000-0000-000020000000}"/>
    <cellStyle name="Heading 2" xfId="37" xr:uid="{00000000-0005-0000-0000-000021000000}"/>
    <cellStyle name="Heading 3" xfId="38" xr:uid="{00000000-0005-0000-0000-000022000000}"/>
    <cellStyle name="Heading 4" xfId="39" xr:uid="{00000000-0005-0000-0000-000023000000}"/>
    <cellStyle name="Input" xfId="40" xr:uid="{00000000-0005-0000-0000-000024000000}"/>
    <cellStyle name="Linked Cell" xfId="41" xr:uid="{00000000-0005-0000-0000-000025000000}"/>
    <cellStyle name="Milliers_Feuil1" xfId="5" xr:uid="{00000000-0005-0000-0000-000026000000}"/>
    <cellStyle name="Neutral" xfId="42" xr:uid="{00000000-0005-0000-0000-000027000000}"/>
    <cellStyle name="Normal_GXT3 Packing Information-100802" xfId="43" xr:uid="{00000000-0005-0000-0000-000028000000}"/>
    <cellStyle name="Normale_MPL_SC99" xfId="44" xr:uid="{00000000-0005-0000-0000-000029000000}"/>
    <cellStyle name="Note" xfId="45" xr:uid="{00000000-0005-0000-0000-00002A000000}"/>
    <cellStyle name="Output" xfId="46" xr:uid="{00000000-0005-0000-0000-00002B000000}"/>
    <cellStyle name="Standard_FA C30_KALKMPX_SAGERER" xfId="47" xr:uid="{00000000-0005-0000-0000-00002C000000}"/>
    <cellStyle name="Title" xfId="48" xr:uid="{00000000-0005-0000-0000-00002D000000}"/>
    <cellStyle name="Total" xfId="49" xr:uid="{00000000-0005-0000-0000-00002E000000}"/>
    <cellStyle name="Warning Text" xfId="50" xr:uid="{00000000-0005-0000-0000-00002F000000}"/>
    <cellStyle name="Обычный" xfId="0" builtinId="0"/>
    <cellStyle name="Обычный 2" xfId="2" xr:uid="{00000000-0005-0000-0000-000031000000}"/>
    <cellStyle name="Обычный 3" xfId="1" xr:uid="{00000000-0005-0000-0000-000032000000}"/>
    <cellStyle name="Обычный 4" xfId="51" xr:uid="{00000000-0005-0000-0000-000033000000}"/>
    <cellStyle name="Обычный 5" xfId="61" xr:uid="{00000000-0005-0000-0000-000034000000}"/>
    <cellStyle name="Процентный 2" xfId="3" xr:uid="{00000000-0005-0000-0000-000035000000}"/>
    <cellStyle name="Финансовый 2" xfId="4" xr:uid="{00000000-0005-0000-0000-000036000000}"/>
    <cellStyle name="千位分隔 4" xfId="56" xr:uid="{00000000-0005-0000-0000-000037000000}"/>
    <cellStyle name="千位分隔 4 2" xfId="53" xr:uid="{00000000-0005-0000-0000-000038000000}"/>
    <cellStyle name="常规 2 2" xfId="54" xr:uid="{00000000-0005-0000-0000-000039000000}"/>
    <cellStyle name="常规 2 2 2" xfId="55" xr:uid="{00000000-0005-0000-0000-00003A000000}"/>
    <cellStyle name="常规 5" xfId="57" xr:uid="{00000000-0005-0000-0000-00003B000000}"/>
    <cellStyle name="常规 5 2" xfId="52" xr:uid="{00000000-0005-0000-0000-00003C000000}"/>
    <cellStyle name="常规_UPS格清单0400518 2" xfId="60" xr:uid="{00000000-0005-0000-0000-00003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lsar\hiross\PM\@public\Prezzi98\List_98\Lis_tel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. ad aria Telecom"/>
      <sheetName val="S06-S29"/>
      <sheetName val="S04-S23"/>
      <sheetName val="S04-S23 cons"/>
      <sheetName val="Old "/>
    </sheetNames>
    <sheetDataSet>
      <sheetData sheetId="0" refreshError="1">
        <row r="7">
          <cell r="F7">
            <v>0</v>
          </cell>
        </row>
        <row r="8">
          <cell r="F8">
            <v>0</v>
          </cell>
        </row>
        <row r="9">
          <cell r="F9">
            <v>0</v>
          </cell>
        </row>
        <row r="10">
          <cell r="F10">
            <v>0</v>
          </cell>
        </row>
        <row r="11">
          <cell r="F11">
            <v>0</v>
          </cell>
        </row>
        <row r="12">
          <cell r="F12">
            <v>2500</v>
          </cell>
        </row>
        <row r="13">
          <cell r="F13">
            <v>2600</v>
          </cell>
        </row>
        <row r="14">
          <cell r="F14">
            <v>4300</v>
          </cell>
        </row>
        <row r="15">
          <cell r="F15">
            <v>4600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3400</v>
          </cell>
        </row>
        <row r="19">
          <cell r="F19">
            <v>3450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20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2100</v>
          </cell>
        </row>
        <row r="27">
          <cell r="F27">
            <v>2150</v>
          </cell>
        </row>
        <row r="28">
          <cell r="F28">
            <v>2200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74BC-3FDC-4CA7-B094-F5DA6A5B24E5}">
  <dimension ref="A1:AG93"/>
  <sheetViews>
    <sheetView tabSelected="1" topLeftCell="A16" zoomScale="160" zoomScaleNormal="160" workbookViewId="0">
      <selection activeCell="D20" sqref="D20"/>
    </sheetView>
  </sheetViews>
  <sheetFormatPr defaultRowHeight="14.5"/>
  <cols>
    <col min="1" max="1" width="22.7265625" style="47" bestFit="1" customWidth="1"/>
    <col min="2" max="2" width="4.54296875" style="1" customWidth="1"/>
    <col min="3" max="3" width="4" style="24" customWidth="1"/>
    <col min="4" max="4" width="41.6328125" style="24" customWidth="1"/>
    <col min="5" max="5" width="14.7265625" style="45" bestFit="1" customWidth="1"/>
    <col min="6" max="6" width="8" style="45" customWidth="1"/>
    <col min="7" max="7" width="14.1796875" style="45" bestFit="1" customWidth="1"/>
    <col min="8" max="33" width="8.7265625" style="45"/>
  </cols>
  <sheetData>
    <row r="1" spans="1:4" ht="12.75" customHeight="1">
      <c r="A1" s="46"/>
      <c r="B1" s="25"/>
      <c r="C1" s="30"/>
      <c r="D1" s="38"/>
    </row>
    <row r="2" spans="1:4" ht="21">
      <c r="A2" s="26" t="s">
        <v>0</v>
      </c>
      <c r="B2" s="27" t="s">
        <v>1</v>
      </c>
      <c r="C2" s="28" t="s">
        <v>2</v>
      </c>
      <c r="D2" s="29" t="s">
        <v>51</v>
      </c>
    </row>
    <row r="3" spans="1:4">
      <c r="A3" s="2" t="s">
        <v>3</v>
      </c>
      <c r="B3" s="3"/>
      <c r="C3" s="15"/>
      <c r="D3" s="16"/>
    </row>
    <row r="4" spans="1:4">
      <c r="A4" s="4" t="s">
        <v>4</v>
      </c>
      <c r="B4" s="4"/>
      <c r="C4" s="53">
        <v>1</v>
      </c>
      <c r="D4" s="53"/>
    </row>
    <row r="5" spans="1:4">
      <c r="A5" s="4" t="s">
        <v>5</v>
      </c>
      <c r="B5" s="4"/>
      <c r="C5" s="5"/>
      <c r="D5" s="17">
        <v>0</v>
      </c>
    </row>
    <row r="6" spans="1:4">
      <c r="A6" s="6" t="s">
        <v>6</v>
      </c>
      <c r="B6" s="6"/>
      <c r="C6" s="54">
        <f>conf!F5</f>
        <v>14100</v>
      </c>
      <c r="D6" s="54"/>
    </row>
    <row r="7" spans="1:4">
      <c r="A7" s="4" t="s">
        <v>7</v>
      </c>
      <c r="B7" s="4"/>
      <c r="C7" s="18"/>
      <c r="D7" s="18">
        <v>1</v>
      </c>
    </row>
    <row r="8" spans="1:4">
      <c r="A8" s="4" t="s">
        <v>8</v>
      </c>
      <c r="B8" s="4"/>
      <c r="C8" s="5"/>
      <c r="D8" s="17">
        <f>C4*C6*D7</f>
        <v>14100</v>
      </c>
    </row>
    <row r="9" spans="1:4">
      <c r="A9" s="7"/>
      <c r="C9" s="5"/>
      <c r="D9" s="19"/>
    </row>
    <row r="10" spans="1:4">
      <c r="C10" s="5"/>
      <c r="D10" s="17"/>
    </row>
    <row r="11" spans="1:4">
      <c r="A11" s="8" t="s">
        <v>26</v>
      </c>
      <c r="B11" s="4"/>
    </row>
    <row r="12" spans="1:4" ht="14.25" customHeight="1">
      <c r="A12" s="8" t="s">
        <v>27</v>
      </c>
      <c r="B12" s="4"/>
    </row>
    <row r="13" spans="1:4" ht="14.25" customHeight="1">
      <c r="A13" s="4" t="s">
        <v>37</v>
      </c>
      <c r="B13" s="4"/>
      <c r="C13" s="9" t="s">
        <v>9</v>
      </c>
      <c r="D13" s="17">
        <v>2000</v>
      </c>
    </row>
    <row r="14" spans="1:4" ht="15" customHeight="1">
      <c r="A14" s="4" t="s">
        <v>10</v>
      </c>
      <c r="B14" s="4"/>
      <c r="C14" s="10" t="s">
        <v>11</v>
      </c>
      <c r="D14" s="17">
        <v>200</v>
      </c>
    </row>
    <row r="15" spans="1:4">
      <c r="A15" s="31" t="s">
        <v>28</v>
      </c>
      <c r="B15" s="4"/>
      <c r="C15" s="5"/>
      <c r="D15" s="17">
        <v>0</v>
      </c>
    </row>
    <row r="16" spans="1:4">
      <c r="A16" s="4" t="s">
        <v>12</v>
      </c>
      <c r="B16" s="3">
        <v>0</v>
      </c>
      <c r="C16" s="5"/>
      <c r="D16" s="17">
        <v>0</v>
      </c>
    </row>
    <row r="17" spans="1:4">
      <c r="A17" s="4" t="s">
        <v>13</v>
      </c>
      <c r="B17" s="4"/>
      <c r="C17" s="5"/>
      <c r="D17" s="17">
        <v>200</v>
      </c>
    </row>
    <row r="18" spans="1:4">
      <c r="A18" s="4" t="s">
        <v>14</v>
      </c>
      <c r="B18" s="4"/>
      <c r="C18" s="5"/>
      <c r="D18" s="17">
        <v>0</v>
      </c>
    </row>
    <row r="19" spans="1:4">
      <c r="A19" s="4" t="s">
        <v>15</v>
      </c>
      <c r="B19" s="4"/>
      <c r="C19" s="5"/>
      <c r="D19" s="17">
        <v>1500</v>
      </c>
    </row>
    <row r="20" spans="1:4">
      <c r="A20" s="39" t="s">
        <v>30</v>
      </c>
      <c r="B20" s="39"/>
      <c r="C20" s="40"/>
      <c r="D20" s="41">
        <v>0</v>
      </c>
    </row>
    <row r="21" spans="1:4">
      <c r="A21" s="4" t="s">
        <v>16</v>
      </c>
      <c r="B21" s="4"/>
      <c r="C21" s="5"/>
      <c r="D21" s="17">
        <v>0</v>
      </c>
    </row>
    <row r="22" spans="1:4">
      <c r="A22" s="8" t="str">
        <f>A11</f>
        <v>usd</v>
      </c>
      <c r="B22" s="4"/>
      <c r="C22" s="5"/>
      <c r="D22" s="17"/>
    </row>
    <row r="23" spans="1:4">
      <c r="A23" s="4" t="s">
        <v>17</v>
      </c>
      <c r="B23" s="4"/>
      <c r="C23" s="5"/>
      <c r="D23" s="17">
        <f>SUM(D8:D22)</f>
        <v>18000</v>
      </c>
    </row>
    <row r="24" spans="1:4">
      <c r="A24" s="4" t="s">
        <v>18</v>
      </c>
      <c r="B24" s="11">
        <v>15</v>
      </c>
      <c r="C24" s="5"/>
      <c r="D24" s="17">
        <f>D23*$B$24/100</f>
        <v>2700</v>
      </c>
    </row>
    <row r="25" spans="1:4" ht="15" customHeight="1">
      <c r="A25" s="4" t="s">
        <v>19</v>
      </c>
      <c r="B25" s="4"/>
      <c r="C25" s="5"/>
      <c r="D25" s="17">
        <f>SUM(D23:D24)</f>
        <v>20700</v>
      </c>
    </row>
    <row r="26" spans="1:4">
      <c r="A26" s="4" t="s">
        <v>20</v>
      </c>
      <c r="B26" s="11">
        <v>0</v>
      </c>
      <c r="C26" s="5"/>
      <c r="D26" s="17">
        <f>D25*$B$26/100</f>
        <v>0</v>
      </c>
    </row>
    <row r="27" spans="1:4">
      <c r="A27" s="7" t="s">
        <v>50</v>
      </c>
      <c r="B27" s="4"/>
      <c r="C27" s="5"/>
      <c r="D27" s="17">
        <f>SUM(D25:D26)</f>
        <v>20700</v>
      </c>
    </row>
    <row r="28" spans="1:4">
      <c r="A28" s="8" t="s">
        <v>21</v>
      </c>
      <c r="B28" s="4"/>
      <c r="C28" s="5"/>
      <c r="D28" s="17"/>
    </row>
    <row r="29" spans="1:4">
      <c r="A29" s="4" t="s">
        <v>22</v>
      </c>
      <c r="B29" s="4"/>
      <c r="C29" s="5"/>
      <c r="D29" s="20">
        <v>1</v>
      </c>
    </row>
    <row r="30" spans="1:4">
      <c r="A30" s="4" t="s">
        <v>19</v>
      </c>
      <c r="B30" s="4"/>
      <c r="C30" s="5"/>
      <c r="D30" s="17">
        <f>ROUND(D25*D29,0.5)</f>
        <v>20700</v>
      </c>
    </row>
    <row r="31" spans="1:4">
      <c r="A31" s="4" t="s">
        <v>20</v>
      </c>
      <c r="B31" s="11">
        <v>0</v>
      </c>
      <c r="C31" s="5"/>
      <c r="D31" s="17">
        <f>D30*$B$31/100</f>
        <v>0</v>
      </c>
    </row>
    <row r="32" spans="1:4">
      <c r="A32" s="7" t="str">
        <f>A27</f>
        <v>DDP Алматы</v>
      </c>
      <c r="B32" s="4"/>
      <c r="C32" s="5"/>
      <c r="D32" s="21">
        <f>ROUND(SUM(D30:D31),0.5)</f>
        <v>20700</v>
      </c>
    </row>
    <row r="33" spans="1:4">
      <c r="A33" s="4"/>
      <c r="B33" s="4"/>
      <c r="C33" s="5"/>
      <c r="D33" s="20"/>
    </row>
    <row r="34" spans="1:4">
      <c r="A34" s="4" t="s">
        <v>23</v>
      </c>
      <c r="B34" s="12">
        <v>0</v>
      </c>
      <c r="C34" s="20"/>
      <c r="D34" s="20">
        <f>D32*$B$34/100</f>
        <v>0</v>
      </c>
    </row>
    <row r="35" spans="1:4">
      <c r="A35" s="4" t="s">
        <v>8</v>
      </c>
      <c r="B35" s="4"/>
      <c r="C35" s="5"/>
      <c r="D35" s="21">
        <f>ROUND(D32+D34,0.5)</f>
        <v>20700</v>
      </c>
    </row>
    <row r="36" spans="1:4">
      <c r="A36" s="13" t="s">
        <v>24</v>
      </c>
      <c r="B36" s="13"/>
      <c r="C36" s="5"/>
      <c r="D36" s="22">
        <f>ROUND(D35/C4,0.5)</f>
        <v>20700</v>
      </c>
    </row>
    <row r="37" spans="1:4">
      <c r="A37" s="14" t="s">
        <v>25</v>
      </c>
      <c r="B37" s="4"/>
      <c r="C37" s="5"/>
      <c r="D37" s="23">
        <f>D36*C4</f>
        <v>20700</v>
      </c>
    </row>
    <row r="38" spans="1:4">
      <c r="A38" s="4"/>
      <c r="B38" s="11"/>
      <c r="C38" s="17"/>
      <c r="D38" s="17"/>
    </row>
    <row r="39" spans="1:4">
      <c r="A39" s="4"/>
      <c r="B39" s="11"/>
      <c r="C39" s="17"/>
      <c r="D39" s="17"/>
    </row>
    <row r="40" spans="1:4">
      <c r="A40" s="4"/>
      <c r="B40" s="11"/>
      <c r="C40" s="17"/>
      <c r="D40" s="17"/>
    </row>
    <row r="41" spans="1:4">
      <c r="A41" s="4"/>
      <c r="B41" s="11"/>
      <c r="C41" s="17"/>
      <c r="D41" s="17"/>
    </row>
    <row r="42" spans="1:4">
      <c r="A42" s="4"/>
      <c r="B42" s="11"/>
      <c r="C42" s="17"/>
      <c r="D42" s="17"/>
    </row>
    <row r="43" spans="1:4">
      <c r="A43" s="4"/>
      <c r="B43" s="11"/>
      <c r="C43" s="17"/>
      <c r="D43" s="17"/>
    </row>
    <row r="44" spans="1:4">
      <c r="A44" s="4"/>
      <c r="B44" s="11"/>
      <c r="C44" s="17"/>
      <c r="D44" s="17"/>
    </row>
    <row r="45" spans="1:4">
      <c r="A45" s="4"/>
      <c r="B45" s="11"/>
      <c r="C45" s="17"/>
      <c r="D45" s="17"/>
    </row>
    <row r="46" spans="1:4">
      <c r="A46" s="4"/>
      <c r="B46" s="11"/>
      <c r="C46" s="17"/>
      <c r="D46" s="17"/>
    </row>
    <row r="47" spans="1:4">
      <c r="A47" s="4"/>
      <c r="B47" s="11"/>
      <c r="C47" s="17"/>
      <c r="D47" s="17"/>
    </row>
    <row r="48" spans="1:4">
      <c r="A48" s="4"/>
      <c r="B48" s="11"/>
      <c r="C48" s="17"/>
      <c r="D48" s="17"/>
    </row>
    <row r="49" spans="1:4">
      <c r="A49" s="4"/>
      <c r="B49" s="11"/>
      <c r="C49" s="17"/>
      <c r="D49" s="17"/>
    </row>
    <row r="50" spans="1:4">
      <c r="A50" s="4"/>
      <c r="B50" s="11"/>
      <c r="C50" s="17"/>
      <c r="D50" s="17"/>
    </row>
    <row r="51" spans="1:4">
      <c r="A51" s="4"/>
      <c r="B51" s="11"/>
      <c r="C51" s="17"/>
      <c r="D51" s="17"/>
    </row>
    <row r="52" spans="1:4">
      <c r="A52" s="4"/>
      <c r="B52" s="11"/>
      <c r="C52" s="17"/>
      <c r="D52" s="17"/>
    </row>
    <row r="53" spans="1:4">
      <c r="A53" s="4"/>
      <c r="B53" s="11"/>
      <c r="C53" s="17"/>
      <c r="D53" s="17"/>
    </row>
    <row r="54" spans="1:4">
      <c r="A54" s="4"/>
      <c r="B54" s="11"/>
      <c r="C54" s="17"/>
      <c r="D54" s="17"/>
    </row>
    <row r="55" spans="1:4">
      <c r="A55" s="4"/>
      <c r="B55" s="11"/>
      <c r="C55" s="17"/>
      <c r="D55" s="17"/>
    </row>
    <row r="56" spans="1:4">
      <c r="A56" s="4"/>
      <c r="B56" s="11"/>
      <c r="C56" s="17"/>
      <c r="D56" s="17"/>
    </row>
    <row r="57" spans="1:4">
      <c r="A57" s="4"/>
      <c r="B57" s="11"/>
      <c r="C57" s="17"/>
      <c r="D57" s="17"/>
    </row>
    <row r="58" spans="1:4">
      <c r="A58" s="4"/>
      <c r="C58" s="17"/>
      <c r="D58" s="17"/>
    </row>
    <row r="59" spans="1:4">
      <c r="A59" s="4"/>
      <c r="C59" s="17"/>
      <c r="D59" s="17"/>
    </row>
    <row r="60" spans="1:4">
      <c r="A60" s="4"/>
      <c r="C60" s="17"/>
      <c r="D60" s="17"/>
    </row>
    <row r="61" spans="1:4">
      <c r="A61" s="4"/>
      <c r="C61" s="17"/>
      <c r="D61" s="17"/>
    </row>
    <row r="62" spans="1:4">
      <c r="A62" s="4"/>
      <c r="C62" s="17"/>
      <c r="D62" s="17"/>
    </row>
    <row r="63" spans="1:4">
      <c r="A63" s="4"/>
      <c r="C63" s="17"/>
      <c r="D63" s="17"/>
    </row>
    <row r="64" spans="1:4">
      <c r="A64" s="4"/>
      <c r="C64" s="17"/>
      <c r="D64" s="17"/>
    </row>
    <row r="65" spans="1:4">
      <c r="A65" s="4"/>
      <c r="C65" s="17"/>
      <c r="D65" s="17"/>
    </row>
    <row r="66" spans="1:4">
      <c r="A66" s="4"/>
      <c r="C66" s="17"/>
      <c r="D66" s="17"/>
    </row>
    <row r="67" spans="1:4">
      <c r="A67" s="4"/>
      <c r="C67" s="17"/>
      <c r="D67" s="17"/>
    </row>
    <row r="68" spans="1:4">
      <c r="A68" s="4"/>
      <c r="C68" s="17"/>
      <c r="D68" s="17"/>
    </row>
    <row r="69" spans="1:4">
      <c r="A69" s="4"/>
      <c r="C69" s="17"/>
      <c r="D69" s="17"/>
    </row>
    <row r="70" spans="1:4">
      <c r="A70" s="4"/>
      <c r="C70" s="17"/>
      <c r="D70" s="17"/>
    </row>
    <row r="71" spans="1:4">
      <c r="A71" s="4"/>
      <c r="C71" s="17"/>
      <c r="D71" s="17"/>
    </row>
    <row r="72" spans="1:4">
      <c r="A72" s="4"/>
      <c r="C72" s="17"/>
      <c r="D72" s="17"/>
    </row>
    <row r="73" spans="1:4">
      <c r="A73" s="4"/>
      <c r="C73" s="17"/>
      <c r="D73" s="17"/>
    </row>
    <row r="74" spans="1:4">
      <c r="A74" s="4"/>
      <c r="C74" s="17"/>
      <c r="D74" s="17"/>
    </row>
    <row r="75" spans="1:4">
      <c r="A75" s="4"/>
      <c r="C75" s="17"/>
      <c r="D75" s="17"/>
    </row>
    <row r="76" spans="1:4">
      <c r="A76" s="4"/>
      <c r="C76" s="17"/>
      <c r="D76" s="17"/>
    </row>
    <row r="77" spans="1:4">
      <c r="A77" s="4"/>
      <c r="C77" s="17"/>
      <c r="D77" s="17"/>
    </row>
    <row r="78" spans="1:4">
      <c r="A78" s="4"/>
      <c r="C78" s="17"/>
      <c r="D78" s="17"/>
    </row>
    <row r="79" spans="1:4">
      <c r="A79" s="4"/>
      <c r="C79" s="17"/>
      <c r="D79" s="17"/>
    </row>
    <row r="80" spans="1:4">
      <c r="A80" s="4"/>
      <c r="C80" s="17"/>
      <c r="D80" s="17"/>
    </row>
    <row r="81" spans="1:4">
      <c r="A81" s="4"/>
      <c r="C81" s="17"/>
      <c r="D81" s="17"/>
    </row>
    <row r="82" spans="1:4">
      <c r="A82" s="4"/>
      <c r="C82" s="17"/>
      <c r="D82" s="17"/>
    </row>
    <row r="83" spans="1:4">
      <c r="A83" s="4"/>
      <c r="C83" s="17"/>
      <c r="D83" s="17"/>
    </row>
    <row r="84" spans="1:4">
      <c r="A84" s="4"/>
      <c r="C84" s="17"/>
      <c r="D84" s="17"/>
    </row>
    <row r="85" spans="1:4">
      <c r="A85" s="4"/>
      <c r="C85" s="17"/>
      <c r="D85" s="17"/>
    </row>
    <row r="86" spans="1:4">
      <c r="A86" s="4"/>
      <c r="C86" s="17"/>
      <c r="D86" s="17"/>
    </row>
    <row r="87" spans="1:4">
      <c r="A87" s="4"/>
      <c r="C87" s="17"/>
      <c r="D87" s="17"/>
    </row>
    <row r="88" spans="1:4">
      <c r="A88" s="4"/>
      <c r="C88" s="17"/>
      <c r="D88" s="17"/>
    </row>
    <row r="89" spans="1:4">
      <c r="A89" s="4"/>
      <c r="C89" s="17"/>
      <c r="D89" s="17"/>
    </row>
    <row r="90" spans="1:4">
      <c r="A90" s="4"/>
      <c r="C90" s="17"/>
      <c r="D90" s="17"/>
    </row>
    <row r="91" spans="1:4">
      <c r="A91" s="4"/>
      <c r="C91" s="17"/>
      <c r="D91" s="17"/>
    </row>
    <row r="92" spans="1:4">
      <c r="A92" s="4"/>
      <c r="C92" s="17"/>
      <c r="D92" s="17"/>
    </row>
    <row r="93" spans="1:4">
      <c r="C93" s="17"/>
      <c r="D93" s="17"/>
    </row>
  </sheetData>
  <mergeCells count="2">
    <mergeCell ref="C4:D4"/>
    <mergeCell ref="C6:D6"/>
  </mergeCells>
  <pageMargins left="0.7" right="0.7" top="0.75" bottom="0.75" header="0.3" footer="0.3"/>
  <pageSetup paperSize="9" orientation="portrait" horizontalDpi="180" verticalDpi="18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47E0-F488-4A1E-9F77-BFC193B87B20}">
  <dimension ref="B3:F5"/>
  <sheetViews>
    <sheetView workbookViewId="0">
      <selection activeCell="B4" sqref="B4"/>
    </sheetView>
  </sheetViews>
  <sheetFormatPr defaultRowHeight="14.5"/>
  <cols>
    <col min="2" max="2" width="30.90625" customWidth="1"/>
    <col min="3" max="3" width="23.08984375" customWidth="1"/>
  </cols>
  <sheetData>
    <row r="3" spans="2:6">
      <c r="B3" t="s">
        <v>38</v>
      </c>
      <c r="C3" t="s">
        <v>39</v>
      </c>
      <c r="D3">
        <v>5100</v>
      </c>
      <c r="E3">
        <v>1</v>
      </c>
      <c r="F3">
        <f>E3*D3</f>
        <v>5100</v>
      </c>
    </row>
    <row r="4" spans="2:6">
      <c r="B4" t="s">
        <v>52</v>
      </c>
      <c r="D4">
        <v>3000</v>
      </c>
      <c r="E4">
        <v>3</v>
      </c>
      <c r="F4">
        <f>E4*D4</f>
        <v>9000</v>
      </c>
    </row>
    <row r="5" spans="2:6">
      <c r="F5">
        <f>SUM(F3:F4)</f>
        <v>14100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3"/>
  <sheetViews>
    <sheetView topLeftCell="A31" zoomScale="160" zoomScaleNormal="160" workbookViewId="0">
      <selection activeCell="C6" sqref="C6:D6"/>
    </sheetView>
  </sheetViews>
  <sheetFormatPr defaultRowHeight="14.5"/>
  <cols>
    <col min="1" max="1" width="22.7265625" style="47" bestFit="1" customWidth="1"/>
    <col min="2" max="2" width="4.54296875" style="1" customWidth="1"/>
    <col min="3" max="3" width="4" style="24" customWidth="1"/>
    <col min="4" max="4" width="11.7265625" style="24" customWidth="1"/>
    <col min="5" max="5" width="14.7265625" style="45" bestFit="1" customWidth="1"/>
    <col min="6" max="6" width="8" style="45" customWidth="1"/>
    <col min="7" max="7" width="14.1796875" style="45" bestFit="1" customWidth="1"/>
    <col min="8" max="33" width="8.7265625" style="45"/>
  </cols>
  <sheetData>
    <row r="1" spans="1:4" ht="12.75" customHeight="1">
      <c r="A1" s="46"/>
      <c r="B1" s="25"/>
      <c r="C1" s="30"/>
      <c r="D1" s="38"/>
    </row>
    <row r="2" spans="1:4" ht="21">
      <c r="A2" s="26" t="s">
        <v>0</v>
      </c>
      <c r="B2" s="27" t="s">
        <v>1</v>
      </c>
      <c r="C2" s="28" t="s">
        <v>2</v>
      </c>
      <c r="D2" s="29" t="s">
        <v>38</v>
      </c>
    </row>
    <row r="3" spans="1:4">
      <c r="A3" s="2" t="s">
        <v>3</v>
      </c>
      <c r="B3" s="3"/>
      <c r="C3" s="15"/>
      <c r="D3" s="16"/>
    </row>
    <row r="4" spans="1:4">
      <c r="A4" s="4" t="s">
        <v>4</v>
      </c>
      <c r="B4" s="4"/>
      <c r="C4" s="53">
        <v>3</v>
      </c>
      <c r="D4" s="53"/>
    </row>
    <row r="5" spans="1:4">
      <c r="A5" s="4" t="s">
        <v>5</v>
      </c>
      <c r="B5" s="4"/>
      <c r="C5" s="5"/>
      <c r="D5" s="17">
        <v>0</v>
      </c>
    </row>
    <row r="6" spans="1:4">
      <c r="A6" s="6" t="s">
        <v>6</v>
      </c>
      <c r="B6" s="6"/>
      <c r="C6" s="54">
        <f>'UPS configuration'!H8</f>
        <v>8100</v>
      </c>
      <c r="D6" s="54"/>
    </row>
    <row r="7" spans="1:4">
      <c r="A7" s="4" t="s">
        <v>7</v>
      </c>
      <c r="B7" s="4"/>
      <c r="C7" s="18"/>
      <c r="D7" s="18">
        <v>1</v>
      </c>
    </row>
    <row r="8" spans="1:4">
      <c r="A8" s="4" t="s">
        <v>8</v>
      </c>
      <c r="B8" s="4"/>
      <c r="C8" s="5"/>
      <c r="D8" s="17">
        <f>C4*C6*D7</f>
        <v>24300</v>
      </c>
    </row>
    <row r="9" spans="1:4">
      <c r="A9" s="7"/>
      <c r="C9" s="5"/>
      <c r="D9" s="19"/>
    </row>
    <row r="10" spans="1:4">
      <c r="C10" s="5"/>
      <c r="D10" s="17"/>
    </row>
    <row r="11" spans="1:4">
      <c r="A11" s="8" t="s">
        <v>26</v>
      </c>
      <c r="B11" s="4"/>
    </row>
    <row r="12" spans="1:4" ht="14.25" customHeight="1">
      <c r="A12" s="8" t="s">
        <v>27</v>
      </c>
      <c r="B12" s="4"/>
    </row>
    <row r="13" spans="1:4" ht="14.25" customHeight="1">
      <c r="A13" s="4" t="s">
        <v>37</v>
      </c>
      <c r="B13" s="4"/>
      <c r="C13" s="9" t="s">
        <v>9</v>
      </c>
      <c r="D13" s="17">
        <v>3500</v>
      </c>
    </row>
    <row r="14" spans="1:4" ht="15" customHeight="1">
      <c r="A14" s="4" t="s">
        <v>10</v>
      </c>
      <c r="B14" s="4"/>
      <c r="C14" s="10" t="s">
        <v>11</v>
      </c>
      <c r="D14" s="17">
        <v>200</v>
      </c>
    </row>
    <row r="15" spans="1:4">
      <c r="A15" s="31" t="s">
        <v>28</v>
      </c>
      <c r="B15" s="4"/>
      <c r="C15" s="5"/>
      <c r="D15" s="17">
        <v>0</v>
      </c>
    </row>
    <row r="16" spans="1:4">
      <c r="A16" s="4" t="s">
        <v>12</v>
      </c>
      <c r="B16" s="3">
        <v>0</v>
      </c>
      <c r="C16" s="5"/>
      <c r="D16" s="17">
        <v>0</v>
      </c>
    </row>
    <row r="17" spans="1:4">
      <c r="A17" s="4" t="s">
        <v>13</v>
      </c>
      <c r="B17" s="4"/>
      <c r="C17" s="5"/>
      <c r="D17" s="17">
        <v>200</v>
      </c>
    </row>
    <row r="18" spans="1:4">
      <c r="A18" s="4" t="s">
        <v>14</v>
      </c>
      <c r="B18" s="4"/>
      <c r="C18" s="5"/>
      <c r="D18" s="17">
        <v>0</v>
      </c>
    </row>
    <row r="19" spans="1:4">
      <c r="A19" s="4" t="s">
        <v>15</v>
      </c>
      <c r="B19" s="4"/>
      <c r="C19" s="5"/>
      <c r="D19" s="17">
        <v>0</v>
      </c>
    </row>
    <row r="20" spans="1:4">
      <c r="A20" s="39" t="s">
        <v>30</v>
      </c>
      <c r="B20" s="39"/>
      <c r="C20" s="40"/>
      <c r="D20" s="41">
        <v>0</v>
      </c>
    </row>
    <row r="21" spans="1:4">
      <c r="A21" s="4" t="s">
        <v>16</v>
      </c>
      <c r="B21" s="4"/>
      <c r="C21" s="5"/>
      <c r="D21" s="17">
        <v>0</v>
      </c>
    </row>
    <row r="22" spans="1:4">
      <c r="A22" s="8" t="str">
        <f>A11</f>
        <v>usd</v>
      </c>
      <c r="B22" s="4"/>
      <c r="C22" s="5"/>
      <c r="D22" s="17"/>
    </row>
    <row r="23" spans="1:4">
      <c r="A23" s="4" t="s">
        <v>17</v>
      </c>
      <c r="B23" s="4"/>
      <c r="C23" s="5"/>
      <c r="D23" s="17">
        <f>SUM(D8:D22)</f>
        <v>28200</v>
      </c>
    </row>
    <row r="24" spans="1:4">
      <c r="A24" s="4" t="s">
        <v>18</v>
      </c>
      <c r="B24" s="11">
        <v>15</v>
      </c>
      <c r="C24" s="5"/>
      <c r="D24" s="17">
        <f>D23*$B$24/100</f>
        <v>4230</v>
      </c>
    </row>
    <row r="25" spans="1:4" ht="15" customHeight="1">
      <c r="A25" s="4" t="s">
        <v>19</v>
      </c>
      <c r="B25" s="4"/>
      <c r="C25" s="5"/>
      <c r="D25" s="17">
        <f>SUM(D23:D24)</f>
        <v>32430</v>
      </c>
    </row>
    <row r="26" spans="1:4">
      <c r="A26" s="4" t="s">
        <v>20</v>
      </c>
      <c r="B26" s="11">
        <v>0</v>
      </c>
      <c r="C26" s="5"/>
      <c r="D26" s="17">
        <f>D25*$B$26/100</f>
        <v>0</v>
      </c>
    </row>
    <row r="27" spans="1:4">
      <c r="A27" s="7" t="s">
        <v>36</v>
      </c>
      <c r="B27" s="4"/>
      <c r="C27" s="5"/>
      <c r="D27" s="17">
        <f>SUM(D25:D26)</f>
        <v>32430</v>
      </c>
    </row>
    <row r="28" spans="1:4">
      <c r="A28" s="8" t="s">
        <v>21</v>
      </c>
      <c r="B28" s="4"/>
      <c r="C28" s="5"/>
      <c r="D28" s="17"/>
    </row>
    <row r="29" spans="1:4">
      <c r="A29" s="4" t="s">
        <v>22</v>
      </c>
      <c r="B29" s="4"/>
      <c r="C29" s="5"/>
      <c r="D29" s="20">
        <v>1</v>
      </c>
    </row>
    <row r="30" spans="1:4">
      <c r="A30" s="4" t="s">
        <v>19</v>
      </c>
      <c r="B30" s="4"/>
      <c r="C30" s="5"/>
      <c r="D30" s="17">
        <f>ROUND(D25*D29,0.5)</f>
        <v>32430</v>
      </c>
    </row>
    <row r="31" spans="1:4">
      <c r="A31" s="4" t="s">
        <v>20</v>
      </c>
      <c r="B31" s="11">
        <v>0</v>
      </c>
      <c r="C31" s="5"/>
      <c r="D31" s="17">
        <f>D30*$B$31/100</f>
        <v>0</v>
      </c>
    </row>
    <row r="32" spans="1:4">
      <c r="A32" s="7" t="str">
        <f>A27</f>
        <v>DDP Yralsk</v>
      </c>
      <c r="B32" s="4"/>
      <c r="C32" s="5"/>
      <c r="D32" s="21">
        <f>ROUND(SUM(D30:D31),0.5)</f>
        <v>32430</v>
      </c>
    </row>
    <row r="33" spans="1:4">
      <c r="A33" s="4"/>
      <c r="B33" s="4"/>
      <c r="C33" s="5"/>
      <c r="D33" s="20"/>
    </row>
    <row r="34" spans="1:4">
      <c r="A34" s="4" t="s">
        <v>23</v>
      </c>
      <c r="B34" s="12">
        <v>5</v>
      </c>
      <c r="C34" s="20"/>
      <c r="D34" s="20">
        <f>D32*$B$34/100</f>
        <v>1621.5</v>
      </c>
    </row>
    <row r="35" spans="1:4">
      <c r="A35" s="4" t="s">
        <v>8</v>
      </c>
      <c r="B35" s="4"/>
      <c r="C35" s="5"/>
      <c r="D35" s="21">
        <f>ROUND(D32+D34,0.5)</f>
        <v>34052</v>
      </c>
    </row>
    <row r="36" spans="1:4">
      <c r="A36" s="13" t="s">
        <v>24</v>
      </c>
      <c r="B36" s="13"/>
      <c r="C36" s="5"/>
      <c r="D36" s="22">
        <f>ROUND(D35/C4,0.5)</f>
        <v>11351</v>
      </c>
    </row>
    <row r="37" spans="1:4">
      <c r="A37" s="14" t="s">
        <v>25</v>
      </c>
      <c r="B37" s="4"/>
      <c r="C37" s="5"/>
      <c r="D37" s="23">
        <f>D36*C4</f>
        <v>34053</v>
      </c>
    </row>
    <row r="38" spans="1:4">
      <c r="A38" s="4"/>
      <c r="B38" s="11"/>
      <c r="C38" s="17"/>
      <c r="D38" s="17"/>
    </row>
    <row r="39" spans="1:4">
      <c r="A39" s="4"/>
      <c r="B39" s="11"/>
      <c r="C39" s="17"/>
      <c r="D39" s="17"/>
    </row>
    <row r="40" spans="1:4">
      <c r="A40" s="4"/>
      <c r="B40" s="11"/>
      <c r="C40" s="17"/>
      <c r="D40" s="17"/>
    </row>
    <row r="41" spans="1:4">
      <c r="A41" s="4"/>
      <c r="B41" s="11"/>
      <c r="C41" s="17"/>
      <c r="D41" s="17"/>
    </row>
    <row r="42" spans="1:4">
      <c r="A42" s="4"/>
      <c r="B42" s="11"/>
      <c r="C42" s="17"/>
      <c r="D42" s="17"/>
    </row>
    <row r="43" spans="1:4">
      <c r="A43" s="4"/>
      <c r="B43" s="11"/>
      <c r="C43" s="17"/>
      <c r="D43" s="17"/>
    </row>
    <row r="44" spans="1:4">
      <c r="A44" s="4"/>
      <c r="B44" s="11"/>
      <c r="C44" s="17"/>
      <c r="D44" s="17"/>
    </row>
    <row r="45" spans="1:4">
      <c r="A45" s="4"/>
      <c r="B45" s="11"/>
      <c r="C45" s="17"/>
      <c r="D45" s="17"/>
    </row>
    <row r="46" spans="1:4">
      <c r="A46" s="4"/>
      <c r="B46" s="11"/>
      <c r="C46" s="17"/>
      <c r="D46" s="17"/>
    </row>
    <row r="47" spans="1:4">
      <c r="A47" s="4"/>
      <c r="B47" s="11"/>
      <c r="C47" s="17"/>
      <c r="D47" s="17"/>
    </row>
    <row r="48" spans="1:4">
      <c r="A48" s="4"/>
      <c r="B48" s="11"/>
      <c r="C48" s="17"/>
      <c r="D48" s="17"/>
    </row>
    <row r="49" spans="1:4">
      <c r="A49" s="4"/>
      <c r="B49" s="11"/>
      <c r="C49" s="17"/>
      <c r="D49" s="17"/>
    </row>
    <row r="50" spans="1:4">
      <c r="A50" s="4"/>
      <c r="B50" s="11"/>
      <c r="C50" s="17"/>
      <c r="D50" s="17"/>
    </row>
    <row r="51" spans="1:4">
      <c r="A51" s="4"/>
      <c r="B51" s="11"/>
      <c r="C51" s="17"/>
      <c r="D51" s="17"/>
    </row>
    <row r="52" spans="1:4">
      <c r="A52" s="4"/>
      <c r="B52" s="11"/>
      <c r="C52" s="17"/>
      <c r="D52" s="17"/>
    </row>
    <row r="53" spans="1:4">
      <c r="A53" s="4"/>
      <c r="B53" s="11"/>
      <c r="C53" s="17"/>
      <c r="D53" s="17"/>
    </row>
    <row r="54" spans="1:4">
      <c r="A54" s="4"/>
      <c r="B54" s="11"/>
      <c r="C54" s="17"/>
      <c r="D54" s="17"/>
    </row>
    <row r="55" spans="1:4">
      <c r="A55" s="4"/>
      <c r="B55" s="11"/>
      <c r="C55" s="17"/>
      <c r="D55" s="17"/>
    </row>
    <row r="56" spans="1:4">
      <c r="A56" s="4"/>
      <c r="B56" s="11"/>
      <c r="C56" s="17"/>
      <c r="D56" s="17"/>
    </row>
    <row r="57" spans="1:4">
      <c r="A57" s="4"/>
      <c r="B57" s="11"/>
      <c r="C57" s="17"/>
      <c r="D57" s="17"/>
    </row>
    <row r="58" spans="1:4">
      <c r="A58" s="4"/>
      <c r="C58" s="17"/>
      <c r="D58" s="17"/>
    </row>
    <row r="59" spans="1:4">
      <c r="A59" s="4"/>
      <c r="C59" s="17"/>
      <c r="D59" s="17"/>
    </row>
    <row r="60" spans="1:4">
      <c r="A60" s="4"/>
      <c r="C60" s="17"/>
      <c r="D60" s="17"/>
    </row>
    <row r="61" spans="1:4">
      <c r="A61" s="4"/>
      <c r="C61" s="17"/>
      <c r="D61" s="17"/>
    </row>
    <row r="62" spans="1:4">
      <c r="A62" s="4"/>
      <c r="C62" s="17"/>
      <c r="D62" s="17"/>
    </row>
    <row r="63" spans="1:4">
      <c r="A63" s="4"/>
      <c r="C63" s="17"/>
      <c r="D63" s="17"/>
    </row>
    <row r="64" spans="1:4">
      <c r="A64" s="4"/>
      <c r="C64" s="17"/>
      <c r="D64" s="17"/>
    </row>
    <row r="65" spans="1:4">
      <c r="A65" s="4"/>
      <c r="C65" s="17"/>
      <c r="D65" s="17"/>
    </row>
    <row r="66" spans="1:4">
      <c r="A66" s="4"/>
      <c r="C66" s="17"/>
      <c r="D66" s="17"/>
    </row>
    <row r="67" spans="1:4">
      <c r="A67" s="4"/>
      <c r="C67" s="17"/>
      <c r="D67" s="17"/>
    </row>
    <row r="68" spans="1:4">
      <c r="A68" s="4"/>
      <c r="C68" s="17"/>
      <c r="D68" s="17"/>
    </row>
    <row r="69" spans="1:4">
      <c r="A69" s="4"/>
      <c r="C69" s="17"/>
      <c r="D69" s="17"/>
    </row>
    <row r="70" spans="1:4">
      <c r="A70" s="4"/>
      <c r="C70" s="17"/>
      <c r="D70" s="17"/>
    </row>
    <row r="71" spans="1:4">
      <c r="A71" s="4"/>
      <c r="C71" s="17"/>
      <c r="D71" s="17"/>
    </row>
    <row r="72" spans="1:4">
      <c r="A72" s="4"/>
      <c r="C72" s="17"/>
      <c r="D72" s="17"/>
    </row>
    <row r="73" spans="1:4">
      <c r="A73" s="4"/>
      <c r="C73" s="17"/>
      <c r="D73" s="17"/>
    </row>
    <row r="74" spans="1:4">
      <c r="A74" s="4"/>
      <c r="C74" s="17"/>
      <c r="D74" s="17"/>
    </row>
    <row r="75" spans="1:4">
      <c r="A75" s="4"/>
      <c r="C75" s="17"/>
      <c r="D75" s="17"/>
    </row>
    <row r="76" spans="1:4">
      <c r="A76" s="4"/>
      <c r="C76" s="17"/>
      <c r="D76" s="17"/>
    </row>
    <row r="77" spans="1:4">
      <c r="A77" s="4"/>
      <c r="C77" s="17"/>
      <c r="D77" s="17"/>
    </row>
    <row r="78" spans="1:4">
      <c r="A78" s="4"/>
      <c r="C78" s="17"/>
      <c r="D78" s="17"/>
    </row>
    <row r="79" spans="1:4">
      <c r="A79" s="4"/>
      <c r="C79" s="17"/>
      <c r="D79" s="17"/>
    </row>
    <row r="80" spans="1:4">
      <c r="A80" s="4"/>
      <c r="C80" s="17"/>
      <c r="D80" s="17"/>
    </row>
    <row r="81" spans="1:4">
      <c r="A81" s="4"/>
      <c r="C81" s="17"/>
      <c r="D81" s="17"/>
    </row>
    <row r="82" spans="1:4">
      <c r="A82" s="4"/>
      <c r="C82" s="17"/>
      <c r="D82" s="17"/>
    </row>
    <row r="83" spans="1:4">
      <c r="A83" s="4"/>
      <c r="C83" s="17"/>
      <c r="D83" s="17"/>
    </row>
    <row r="84" spans="1:4">
      <c r="A84" s="4"/>
      <c r="C84" s="17"/>
      <c r="D84" s="17"/>
    </row>
    <row r="85" spans="1:4">
      <c r="A85" s="4"/>
      <c r="C85" s="17"/>
      <c r="D85" s="17"/>
    </row>
    <row r="86" spans="1:4">
      <c r="A86" s="4"/>
      <c r="C86" s="17"/>
      <c r="D86" s="17"/>
    </row>
    <row r="87" spans="1:4">
      <c r="A87" s="4"/>
      <c r="C87" s="17"/>
      <c r="D87" s="17"/>
    </row>
    <row r="88" spans="1:4">
      <c r="A88" s="4"/>
      <c r="C88" s="17"/>
      <c r="D88" s="17"/>
    </row>
    <row r="89" spans="1:4">
      <c r="A89" s="4"/>
      <c r="C89" s="17"/>
      <c r="D89" s="17"/>
    </row>
    <row r="90" spans="1:4">
      <c r="A90" s="4"/>
      <c r="C90" s="17"/>
      <c r="D90" s="17"/>
    </row>
    <row r="91" spans="1:4">
      <c r="A91" s="4"/>
      <c r="C91" s="17"/>
      <c r="D91" s="17"/>
    </row>
    <row r="92" spans="1:4">
      <c r="A92" s="4"/>
      <c r="C92" s="17"/>
      <c r="D92" s="17"/>
    </row>
    <row r="93" spans="1:4">
      <c r="C93" s="17"/>
      <c r="D93" s="17"/>
    </row>
  </sheetData>
  <mergeCells count="2">
    <mergeCell ref="C4:D4"/>
    <mergeCell ref="C6:D6"/>
  </mergeCells>
  <pageMargins left="0.7" right="0.7" top="0.75" bottom="0.75" header="0.3" footer="0.3"/>
  <pageSetup paperSize="9" orientation="portrait" horizontalDpi="180" verticalDpi="18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5"/>
  <sheetViews>
    <sheetView topLeftCell="A4" workbookViewId="0">
      <selection activeCell="C6" sqref="C6:D6"/>
    </sheetView>
  </sheetViews>
  <sheetFormatPr defaultRowHeight="14.5"/>
  <cols>
    <col min="1" max="1" width="2.90625" bestFit="1" customWidth="1"/>
    <col min="2" max="2" width="17.7265625" bestFit="1" customWidth="1"/>
    <col min="3" max="3" width="19.90625" customWidth="1"/>
    <col min="4" max="4" width="17.81640625" customWidth="1"/>
    <col min="5" max="5" width="8.6328125" customWidth="1"/>
    <col min="6" max="6" width="8.81640625" customWidth="1"/>
    <col min="7" max="7" width="9" bestFit="1" customWidth="1"/>
    <col min="8" max="8" width="10.453125" bestFit="1" customWidth="1"/>
  </cols>
  <sheetData>
    <row r="2" spans="1:8">
      <c r="A2" t="s">
        <v>45</v>
      </c>
      <c r="C2" s="44" t="s">
        <v>31</v>
      </c>
    </row>
    <row r="3" spans="1:8">
      <c r="B3" s="50" t="s">
        <v>35</v>
      </c>
      <c r="C3" s="49" t="s">
        <v>34</v>
      </c>
      <c r="D3" s="50"/>
      <c r="E3" s="50" t="s">
        <v>41</v>
      </c>
      <c r="F3" s="48" t="s">
        <v>29</v>
      </c>
      <c r="G3" s="49" t="s">
        <v>4</v>
      </c>
      <c r="H3" s="49" t="s">
        <v>32</v>
      </c>
    </row>
    <row r="4" spans="1:8">
      <c r="B4" s="32" t="s">
        <v>38</v>
      </c>
      <c r="C4" s="32" t="s">
        <v>39</v>
      </c>
      <c r="D4" s="32" t="s">
        <v>40</v>
      </c>
      <c r="E4" s="32">
        <v>165</v>
      </c>
      <c r="F4" s="36"/>
      <c r="G4" s="33">
        <v>1</v>
      </c>
      <c r="H4" s="34">
        <v>5100</v>
      </c>
    </row>
    <row r="5" spans="1:8">
      <c r="B5" s="32" t="s">
        <v>42</v>
      </c>
      <c r="C5" s="32" t="s">
        <v>43</v>
      </c>
      <c r="D5" s="32"/>
      <c r="E5" s="32"/>
      <c r="F5" s="36"/>
      <c r="G5" s="33">
        <v>3</v>
      </c>
      <c r="H5" s="34">
        <v>3000</v>
      </c>
    </row>
    <row r="6" spans="1:8">
      <c r="B6" s="51"/>
      <c r="C6" s="32"/>
      <c r="D6" s="32"/>
      <c r="E6" s="32"/>
      <c r="F6" s="36"/>
      <c r="G6" s="33"/>
      <c r="H6" s="34"/>
    </row>
    <row r="7" spans="1:8">
      <c r="B7" s="32"/>
      <c r="C7" s="32"/>
      <c r="D7" s="32"/>
      <c r="E7" s="32"/>
      <c r="F7" s="36"/>
      <c r="G7" s="33"/>
      <c r="H7" s="34"/>
    </row>
    <row r="8" spans="1:8">
      <c r="B8" s="34"/>
      <c r="C8" s="32"/>
      <c r="D8" s="34"/>
      <c r="E8" s="34"/>
      <c r="F8" s="55" t="s">
        <v>33</v>
      </c>
      <c r="G8" s="55"/>
      <c r="H8" s="37">
        <f>SUM(H4:H7)</f>
        <v>8100</v>
      </c>
    </row>
    <row r="9" spans="1:8">
      <c r="B9" s="35"/>
      <c r="C9" s="42"/>
      <c r="D9" s="35"/>
      <c r="E9" s="35"/>
      <c r="F9" s="35"/>
      <c r="G9" s="35"/>
      <c r="H9" s="43"/>
    </row>
    <row r="10" spans="1:8">
      <c r="A10" t="s">
        <v>44</v>
      </c>
      <c r="C10" s="44" t="s">
        <v>31</v>
      </c>
    </row>
    <row r="11" spans="1:8" ht="26">
      <c r="B11" s="50" t="s">
        <v>35</v>
      </c>
      <c r="C11" s="49" t="s">
        <v>34</v>
      </c>
      <c r="D11" s="50"/>
      <c r="E11" s="52" t="s">
        <v>5</v>
      </c>
      <c r="F11" s="48" t="s">
        <v>29</v>
      </c>
      <c r="G11" s="48" t="s">
        <v>4</v>
      </c>
      <c r="H11" s="48" t="s">
        <v>32</v>
      </c>
    </row>
    <row r="12" spans="1:8">
      <c r="B12" s="32" t="s">
        <v>38</v>
      </c>
      <c r="C12" s="32" t="s">
        <v>39</v>
      </c>
      <c r="D12" s="32" t="s">
        <v>40</v>
      </c>
      <c r="E12" s="33">
        <v>165</v>
      </c>
      <c r="F12" s="34">
        <v>5100</v>
      </c>
      <c r="G12" s="33">
        <v>1</v>
      </c>
      <c r="H12" s="34">
        <f>G12*F12</f>
        <v>5100</v>
      </c>
    </row>
    <row r="13" spans="1:8">
      <c r="B13" s="32" t="s">
        <v>47</v>
      </c>
      <c r="C13" s="32" t="s">
        <v>46</v>
      </c>
      <c r="D13" s="32" t="s">
        <v>48</v>
      </c>
      <c r="E13" s="33">
        <v>41</v>
      </c>
      <c r="F13" s="34">
        <v>3520</v>
      </c>
      <c r="G13" s="33">
        <v>3</v>
      </c>
      <c r="H13" s="34">
        <f>G13*F13</f>
        <v>10560</v>
      </c>
    </row>
    <row r="14" spans="1:8">
      <c r="B14" s="51" t="s">
        <v>42</v>
      </c>
      <c r="C14" s="32" t="s">
        <v>43</v>
      </c>
      <c r="D14" s="32" t="s">
        <v>49</v>
      </c>
      <c r="E14" s="33">
        <v>41</v>
      </c>
      <c r="F14" s="36">
        <v>3000</v>
      </c>
      <c r="G14" s="33">
        <v>1</v>
      </c>
      <c r="H14" s="34">
        <f>G14*F14</f>
        <v>3000</v>
      </c>
    </row>
    <row r="15" spans="1:8">
      <c r="B15" s="34"/>
      <c r="C15" s="32"/>
      <c r="D15" s="34"/>
      <c r="E15" s="34"/>
      <c r="F15" s="55" t="s">
        <v>33</v>
      </c>
      <c r="G15" s="55"/>
      <c r="H15" s="37">
        <f>SUM(H12:H14)</f>
        <v>18660</v>
      </c>
    </row>
  </sheetData>
  <mergeCells count="2">
    <mergeCell ref="F8:G8"/>
    <mergeCell ref="F15:G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DDP Алматы_08-04-26(v1)</vt:lpstr>
      <vt:lpstr>conf</vt:lpstr>
      <vt:lpstr>DDP Алматы_05-12-24(v1)</vt:lpstr>
      <vt:lpstr>UPS 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2026-04-08T06:16:42Z</dcterms:modified>
</cp:coreProperties>
</file>